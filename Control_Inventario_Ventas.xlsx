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d05cb490bac37da/Documentos/PORTAFOLIO/control-inventario-excel/"/>
    </mc:Choice>
  </mc:AlternateContent>
  <xr:revisionPtr revIDLastSave="137" documentId="11_AD4D2F04E46CFB4ACB3E20A2DD13D018693EDF2F" xr6:coauthVersionLast="47" xr6:coauthVersionMax="47" xr10:uidLastSave="{DFC96218-43D6-4EC1-BC85-FBE7DB7F9A01}"/>
  <bookViews>
    <workbookView xWindow="-120" yWindow="-120" windowWidth="20730" windowHeight="11040" activeTab="2" xr2:uid="{00000000-000D-0000-FFFF-FFFF00000000}"/>
  </bookViews>
  <sheets>
    <sheet name="PRODUCTOS" sheetId="1" r:id="rId1"/>
    <sheet name="VENTA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E7" i="2"/>
  <c r="B7" i="3"/>
  <c r="B6" i="3"/>
  <c r="B3" i="3"/>
  <c r="I2" i="1"/>
  <c r="I6" i="1"/>
  <c r="J2" i="1"/>
  <c r="B4" i="3" s="1"/>
  <c r="J3" i="1"/>
  <c r="I3" i="1" s="1"/>
  <c r="J4" i="1"/>
  <c r="I4" i="1" s="1"/>
  <c r="J5" i="1"/>
  <c r="I5" i="1" s="1"/>
  <c r="J6" i="1"/>
  <c r="E3" i="2"/>
  <c r="F3" i="2" s="1"/>
  <c r="E4" i="2"/>
  <c r="F4" i="2" s="1"/>
  <c r="E5" i="2"/>
  <c r="F5" i="2" s="1"/>
  <c r="E6" i="2"/>
  <c r="F6" i="2" s="1"/>
  <c r="E2" i="2"/>
  <c r="F2" i="2" s="1"/>
  <c r="H3" i="1"/>
  <c r="H4" i="1"/>
  <c r="H5" i="1"/>
  <c r="H6" i="1"/>
  <c r="H2" i="1"/>
  <c r="B5" i="3" l="1"/>
</calcChain>
</file>

<file path=xl/sharedStrings.xml><?xml version="1.0" encoding="utf-8"?>
<sst xmlns="http://schemas.openxmlformats.org/spreadsheetml/2006/main" count="49" uniqueCount="33">
  <si>
    <t>Código</t>
  </si>
  <si>
    <t>Producto</t>
  </si>
  <si>
    <t>Categoría</t>
  </si>
  <si>
    <t>Cantidad</t>
  </si>
  <si>
    <t>Precio de compra</t>
  </si>
  <si>
    <t>Precio de venta</t>
  </si>
  <si>
    <t>Stock mínimo</t>
  </si>
  <si>
    <t>Valor inventario</t>
  </si>
  <si>
    <t>Estado</t>
  </si>
  <si>
    <t>Precio venta</t>
  </si>
  <si>
    <t>P001</t>
  </si>
  <si>
    <t>Camiseta</t>
  </si>
  <si>
    <t>Ropa</t>
  </si>
  <si>
    <t>P002</t>
  </si>
  <si>
    <t>Pantalón</t>
  </si>
  <si>
    <t>P003</t>
  </si>
  <si>
    <t>Gorra</t>
  </si>
  <si>
    <t>Accesorios</t>
  </si>
  <si>
    <t>P004</t>
  </si>
  <si>
    <t>Zapatos</t>
  </si>
  <si>
    <t>Calzado</t>
  </si>
  <si>
    <t>P005</t>
  </si>
  <si>
    <t>Chaqueta</t>
  </si>
  <si>
    <t>Fecha</t>
  </si>
  <si>
    <t>Total venta</t>
  </si>
  <si>
    <t>Stock inicial</t>
  </si>
  <si>
    <t>Stock actual</t>
  </si>
  <si>
    <t>RESUMEN DEL NEGOCIO</t>
  </si>
  <si>
    <t>Productos registrados</t>
  </si>
  <si>
    <t>Unidades en inventario</t>
  </si>
  <si>
    <t>Valor del inventario</t>
  </si>
  <si>
    <t>Ventas realizadas</t>
  </si>
  <si>
    <t>Dinero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</si>
</sst>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2" fillId="0" borderId="1" xfId="0" applyFont="1" applyBorder="1"/>
  </cellXfs>
  <cellStyles count="2">
    <cellStyle name="Moneda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5B534-E06D-42AC-A99A-3B1B9523C2C1}" name="tblProductos" displayName="tblProductos" ref="A1:J6" totalsRowShown="0" headerRowDxfId="5" headerRowCellStyle="Moneda">
  <autoFilter ref="A1:J6" xr:uid="{0135B534-E06D-42AC-A99A-3B1B9523C2C1}"/>
  <tableColumns count="10">
    <tableColumn id="1" xr3:uid="{F8F6ED2B-B025-48F3-AF64-255CF41A4570}" name="Código" dataDxfId="13"/>
    <tableColumn id="2" xr3:uid="{F420CA6C-7AD0-4854-8B48-A18054180FC0}" name="Producto" dataDxfId="12"/>
    <tableColumn id="3" xr3:uid="{0D9A4AAC-6600-429E-8B11-331EC3A0520A}" name="Categoría" dataDxfId="11"/>
    <tableColumn id="4" xr3:uid="{F7F37D2F-7C69-4134-9F8A-00504011A622}" name="Stock inicial" dataDxfId="10"/>
    <tableColumn id="5" xr3:uid="{864B72CB-65C9-4B80-B7A4-7240DE6D4D1A}" name="Precio de compra" dataDxfId="9" dataCellStyle="Moneda"/>
    <tableColumn id="6" xr3:uid="{7F4F4123-B492-4B8D-BEF1-E2EBD4DE1622}" name="Precio de venta" dataDxfId="8" dataCellStyle="Moneda"/>
    <tableColumn id="7" xr3:uid="{A14481CE-C6FC-44B7-BE34-0437C12AEC4A}" name="Stock mínimo" dataDxfId="7"/>
    <tableColumn id="8" xr3:uid="{6CD159C9-69EE-495C-8E68-142061C4F2E9}" name="Valor inventario" dataDxfId="6" dataCellStyle="Moneda">
      <calculatedColumnFormula>D2*E2</calculatedColumnFormula>
    </tableColumn>
    <tableColumn id="9" xr3:uid="{AF6D7227-7998-4DD3-A64E-523B00E29D0B}" name="Estado" dataDxfId="3">
      <calculatedColumnFormula>IF(J2&lt;=G2,"COMPRAR","DISPONIBLE")</calculatedColumnFormula>
    </tableColumn>
    <tableColumn id="10" xr3:uid="{4E6C82E2-8BF9-4A16-8EA3-2E38756D6117}" name="Stock actual" dataDxfId="4">
      <calculatedColumnFormula>D2-SUMIF(VENTAS!B:B,A2,VENTAS!D:D)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opLeftCell="E1" workbookViewId="0">
      <selection activeCell="J2" sqref="J2"/>
    </sheetView>
  </sheetViews>
  <sheetFormatPr baseColWidth="10" defaultColWidth="9.140625" defaultRowHeight="15" x14ac:dyDescent="0.25"/>
  <cols>
    <col min="1" max="1" width="11.7109375" bestFit="1" customWidth="1"/>
    <col min="2" max="2" width="13.5703125" bestFit="1" customWidth="1"/>
    <col min="3" max="3" width="14" bestFit="1" customWidth="1"/>
    <col min="4" max="4" width="16" style="2" bestFit="1" customWidth="1"/>
    <col min="5" max="5" width="22.42578125" style="3" bestFit="1" customWidth="1"/>
    <col min="6" max="6" width="20.85546875" style="3" bestFit="1" customWidth="1"/>
    <col min="7" max="7" width="17.5703125" bestFit="1" customWidth="1"/>
    <col min="8" max="8" width="21.42578125" style="3" bestFit="1" customWidth="1"/>
    <col min="9" max="9" width="11.42578125" bestFit="1" customWidth="1"/>
    <col min="10" max="10" width="17.42578125" bestFit="1" customWidth="1"/>
  </cols>
  <sheetData>
    <row r="1" spans="1:10" x14ac:dyDescent="0.25">
      <c r="A1" s="7" t="s">
        <v>0</v>
      </c>
      <c r="B1" s="2" t="s">
        <v>1</v>
      </c>
      <c r="C1" s="2" t="s">
        <v>2</v>
      </c>
      <c r="D1" s="2" t="s">
        <v>25</v>
      </c>
      <c r="E1" s="4" t="s">
        <v>4</v>
      </c>
      <c r="F1" s="4" t="s">
        <v>5</v>
      </c>
      <c r="G1" s="2" t="s">
        <v>6</v>
      </c>
      <c r="H1" s="4" t="s">
        <v>7</v>
      </c>
      <c r="I1" s="2" t="s">
        <v>8</v>
      </c>
      <c r="J1" s="4" t="s">
        <v>26</v>
      </c>
    </row>
    <row r="2" spans="1:10" x14ac:dyDescent="0.25">
      <c r="A2" s="1" t="s">
        <v>10</v>
      </c>
      <c r="B2" s="1" t="s">
        <v>11</v>
      </c>
      <c r="C2" s="1" t="s">
        <v>12</v>
      </c>
      <c r="D2" s="1">
        <v>15</v>
      </c>
      <c r="E2" s="5">
        <v>20000</v>
      </c>
      <c r="F2" s="5">
        <v>35000</v>
      </c>
      <c r="G2" s="1">
        <v>5</v>
      </c>
      <c r="H2" s="3">
        <f>D2*E2</f>
        <v>300000</v>
      </c>
      <c r="I2" t="str">
        <f t="shared" ref="I2:I6" si="0">IF(J2&lt;=G2,"COMPRAR","DISPONIBLE")</f>
        <v>DISPONIBLE</v>
      </c>
      <c r="J2">
        <f>D2-SUMIF(VENTAS!B:B,A2,VENTAS!D:D)</f>
        <v>9</v>
      </c>
    </row>
    <row r="3" spans="1:10" x14ac:dyDescent="0.25">
      <c r="A3" s="1" t="s">
        <v>13</v>
      </c>
      <c r="B3" s="1" t="s">
        <v>14</v>
      </c>
      <c r="C3" s="1" t="s">
        <v>12</v>
      </c>
      <c r="D3" s="1">
        <v>8</v>
      </c>
      <c r="E3" s="5">
        <v>40000</v>
      </c>
      <c r="F3" s="5">
        <v>70000</v>
      </c>
      <c r="G3" s="1">
        <v>3</v>
      </c>
      <c r="H3" s="3">
        <f t="shared" ref="H3:H6" si="1">D3*E3</f>
        <v>320000</v>
      </c>
      <c r="I3" t="str">
        <f t="shared" si="0"/>
        <v>DISPONIBLE</v>
      </c>
      <c r="J3">
        <f>D3-SUMIF(VENTAS!B:B,A3,VENTAS!D:D)</f>
        <v>7</v>
      </c>
    </row>
    <row r="4" spans="1:10" x14ac:dyDescent="0.25">
      <c r="A4" s="1" t="s">
        <v>15</v>
      </c>
      <c r="B4" s="1" t="s">
        <v>16</v>
      </c>
      <c r="C4" s="1" t="s">
        <v>17</v>
      </c>
      <c r="D4" s="1">
        <v>20</v>
      </c>
      <c r="E4" s="5">
        <v>12000</v>
      </c>
      <c r="F4" s="5">
        <v>25000</v>
      </c>
      <c r="G4" s="1">
        <v>5</v>
      </c>
      <c r="H4" s="3">
        <f t="shared" si="1"/>
        <v>240000</v>
      </c>
      <c r="I4" t="str">
        <f t="shared" si="0"/>
        <v>DISPONIBLE</v>
      </c>
      <c r="J4">
        <f>D4-SUMIF(VENTAS!B:B,A4,VENTAS!D:D)</f>
        <v>17</v>
      </c>
    </row>
    <row r="5" spans="1:10" x14ac:dyDescent="0.25">
      <c r="A5" s="1" t="s">
        <v>18</v>
      </c>
      <c r="B5" s="1" t="s">
        <v>19</v>
      </c>
      <c r="C5" s="1" t="s">
        <v>20</v>
      </c>
      <c r="D5" s="1">
        <v>4</v>
      </c>
      <c r="E5" s="5">
        <v>80000</v>
      </c>
      <c r="F5" s="5">
        <v>120000</v>
      </c>
      <c r="G5" s="1">
        <v>5</v>
      </c>
      <c r="H5" s="3">
        <f t="shared" si="1"/>
        <v>320000</v>
      </c>
      <c r="I5" t="str">
        <f t="shared" si="0"/>
        <v>COMPRAR</v>
      </c>
      <c r="J5">
        <f>D5-SUMIF(VENTAS!B:B,A5,VENTAS!D:D)</f>
        <v>3</v>
      </c>
    </row>
    <row r="6" spans="1:10" ht="17.25" customHeight="1" x14ac:dyDescent="0.25">
      <c r="A6" s="1" t="s">
        <v>21</v>
      </c>
      <c r="B6" s="1" t="s">
        <v>22</v>
      </c>
      <c r="C6" s="1" t="s">
        <v>12</v>
      </c>
      <c r="D6" s="1">
        <v>10</v>
      </c>
      <c r="E6" s="5">
        <v>60000</v>
      </c>
      <c r="F6" s="5">
        <v>95000</v>
      </c>
      <c r="G6" s="1">
        <v>3</v>
      </c>
      <c r="H6" s="3">
        <f t="shared" si="1"/>
        <v>600000</v>
      </c>
      <c r="I6" t="str">
        <f t="shared" si="0"/>
        <v>DISPONIBLE</v>
      </c>
      <c r="J6">
        <f>D6-SUMIF(VENTAS!B:B,A6,VENTAS!D:D)</f>
        <v>10</v>
      </c>
    </row>
  </sheetData>
  <conditionalFormatting sqref="I2:I6">
    <cfRule type="containsText" dxfId="1" priority="1" operator="containsText" text="DISPONIBLE">
      <formula>NOT(ISERROR(SEARCH("DISPONIBLE",I2)))</formula>
    </cfRule>
    <cfRule type="containsText" dxfId="0" priority="2" operator="containsText" text="COMPRAR">
      <formula>NOT(ISERROR(SEARCH("COMPRAR",I2)))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1FF5-1A9B-478F-863E-D56B1A390380}">
  <dimension ref="A1:F7"/>
  <sheetViews>
    <sheetView workbookViewId="0">
      <selection activeCell="F7" sqref="F7"/>
    </sheetView>
  </sheetViews>
  <sheetFormatPr baseColWidth="10" defaultRowHeight="15" x14ac:dyDescent="0.25"/>
  <cols>
    <col min="1" max="1" width="11.42578125" style="6" customWidth="1"/>
    <col min="2" max="4" width="11.42578125" style="6"/>
    <col min="5" max="6" width="13" style="6" bestFit="1" customWidth="1"/>
  </cols>
  <sheetData>
    <row r="1" spans="1:6" x14ac:dyDescent="0.25">
      <c r="A1" s="2" t="s">
        <v>23</v>
      </c>
      <c r="B1" s="2" t="s">
        <v>0</v>
      </c>
      <c r="C1" s="2" t="s">
        <v>1</v>
      </c>
      <c r="D1" s="2" t="s">
        <v>3</v>
      </c>
      <c r="E1" s="2" t="s">
        <v>9</v>
      </c>
      <c r="F1" s="2" t="s">
        <v>24</v>
      </c>
    </row>
    <row r="2" spans="1:6" x14ac:dyDescent="0.25">
      <c r="A2" s="8">
        <v>46249</v>
      </c>
      <c r="B2" s="1" t="s">
        <v>10</v>
      </c>
      <c r="C2" s="1" t="s">
        <v>11</v>
      </c>
      <c r="D2" s="1">
        <v>2</v>
      </c>
      <c r="E2" s="9">
        <f>_xlfn.XLOOKUP(B2,PRODUCTOS!A:A,PRODUCTOS!F:F,"No encontrado")</f>
        <v>35000</v>
      </c>
      <c r="F2" s="9">
        <f>D2*E2</f>
        <v>70000</v>
      </c>
    </row>
    <row r="3" spans="1:6" x14ac:dyDescent="0.25">
      <c r="A3" s="8">
        <v>46249</v>
      </c>
      <c r="B3" s="1" t="s">
        <v>15</v>
      </c>
      <c r="C3" s="1" t="s">
        <v>16</v>
      </c>
      <c r="D3" s="1">
        <v>3</v>
      </c>
      <c r="E3" s="9">
        <f>_xlfn.XLOOKUP(B3,PRODUCTOS!A:A,PRODUCTOS!F:F,"No encontrado")</f>
        <v>25000</v>
      </c>
      <c r="F3" s="9">
        <f t="shared" ref="F3:F7" si="0">D3*E3</f>
        <v>75000</v>
      </c>
    </row>
    <row r="4" spans="1:6" x14ac:dyDescent="0.25">
      <c r="A4" s="8">
        <v>46250</v>
      </c>
      <c r="B4" s="1" t="s">
        <v>13</v>
      </c>
      <c r="C4" s="1" t="s">
        <v>14</v>
      </c>
      <c r="D4" s="1">
        <v>1</v>
      </c>
      <c r="E4" s="9">
        <f>_xlfn.XLOOKUP(B4,PRODUCTOS!A:A,PRODUCTOS!F:F,"No encontrado")</f>
        <v>70000</v>
      </c>
      <c r="F4" s="9">
        <f t="shared" si="0"/>
        <v>70000</v>
      </c>
    </row>
    <row r="5" spans="1:6" x14ac:dyDescent="0.25">
      <c r="A5" s="8">
        <v>46250</v>
      </c>
      <c r="B5" s="1" t="s">
        <v>18</v>
      </c>
      <c r="C5" s="1" t="s">
        <v>19</v>
      </c>
      <c r="D5" s="1">
        <v>1</v>
      </c>
      <c r="E5" s="9">
        <f>_xlfn.XLOOKUP(B5,PRODUCTOS!A:A,PRODUCTOS!F:F,"No encontrado")</f>
        <v>120000</v>
      </c>
      <c r="F5" s="9">
        <f t="shared" si="0"/>
        <v>120000</v>
      </c>
    </row>
    <row r="6" spans="1:6" x14ac:dyDescent="0.25">
      <c r="A6" s="8">
        <v>46251</v>
      </c>
      <c r="B6" s="1" t="s">
        <v>10</v>
      </c>
      <c r="C6" s="1" t="s">
        <v>11</v>
      </c>
      <c r="D6" s="1">
        <v>1</v>
      </c>
      <c r="E6" s="9">
        <f>_xlfn.XLOOKUP(B6,PRODUCTOS!A:A,PRODUCTOS!F:F,"No encontrado")</f>
        <v>35000</v>
      </c>
      <c r="F6" s="9">
        <f t="shared" si="0"/>
        <v>35000</v>
      </c>
    </row>
    <row r="7" spans="1:6" x14ac:dyDescent="0.25">
      <c r="A7" s="8">
        <v>46251</v>
      </c>
      <c r="B7" s="1" t="s">
        <v>10</v>
      </c>
      <c r="C7" s="1" t="s">
        <v>11</v>
      </c>
      <c r="D7" s="1">
        <v>3</v>
      </c>
      <c r="E7" s="9">
        <f>_xlfn.XLOOKUP(B7,PRODUCTOS!A:A,PRODUCTOS!F:F,"No encontrado")</f>
        <v>35000</v>
      </c>
      <c r="F7" s="9">
        <f t="shared" si="0"/>
        <v>105000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B803-4424-45FF-9573-8E157129060C}">
  <dimension ref="A1:B7"/>
  <sheetViews>
    <sheetView tabSelected="1" workbookViewId="0">
      <selection activeCell="A2" sqref="A2"/>
    </sheetView>
  </sheetViews>
  <sheetFormatPr baseColWidth="10" defaultRowHeight="15" x14ac:dyDescent="0.25"/>
  <cols>
    <col min="1" max="1" width="22.140625" bestFit="1" customWidth="1"/>
    <col min="2" max="2" width="14.5703125" bestFit="1" customWidth="1"/>
  </cols>
  <sheetData>
    <row r="1" spans="1:2" ht="21" x14ac:dyDescent="0.35">
      <c r="A1" s="10" t="s">
        <v>27</v>
      </c>
      <c r="B1" s="10"/>
    </row>
    <row r="3" spans="1:2" x14ac:dyDescent="0.25">
      <c r="A3" s="14" t="s">
        <v>28</v>
      </c>
      <c r="B3" s="11">
        <f>COUNTA(PRODUCTOS!A2:A1000)</f>
        <v>5</v>
      </c>
    </row>
    <row r="4" spans="1:2" x14ac:dyDescent="0.25">
      <c r="A4" s="14" t="s">
        <v>29</v>
      </c>
      <c r="B4" s="11">
        <f>SUM(PRODUCTOS!J2:J1000)</f>
        <v>46</v>
      </c>
    </row>
    <row r="5" spans="1:2" x14ac:dyDescent="0.25">
      <c r="A5" s="14" t="s">
        <v>30</v>
      </c>
      <c r="B5" s="12">
        <f>SUMPRODUCT(PRODUCTOS!J2:J1000,PRODUCTOS!E2:E1000)</f>
        <v>1504000</v>
      </c>
    </row>
    <row r="6" spans="1:2" x14ac:dyDescent="0.25">
      <c r="A6" s="14" t="s">
        <v>31</v>
      </c>
      <c r="B6" s="11">
        <f>COUNTA(VENTAS!B2:B1000)</f>
        <v>6</v>
      </c>
    </row>
    <row r="7" spans="1:2" x14ac:dyDescent="0.25">
      <c r="A7" s="14" t="s">
        <v>32</v>
      </c>
      <c r="B7" s="13">
        <f>SUM(VENTAS!F2:F1000)</f>
        <v>475000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VENTAS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Stiven Camero Landinez</dc:creator>
  <cp:lastModifiedBy>Brayan Stiven Camero Landinez</cp:lastModifiedBy>
  <dcterms:created xsi:type="dcterms:W3CDTF">2015-06-05T18:19:34Z</dcterms:created>
  <dcterms:modified xsi:type="dcterms:W3CDTF">2026-08-15T22:58:30Z</dcterms:modified>
</cp:coreProperties>
</file>